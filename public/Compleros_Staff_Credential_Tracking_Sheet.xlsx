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redential Tracker" sheetId="1" state="visible" r:id="rId1"/>
    <sheet xmlns:r="http://schemas.openxmlformats.org/officeDocument/2006/relationships" name="DCF Requirements Reference" sheetId="2" state="visible" r:id="rId2"/>
  </sheets>
  <definedNames>
    <definedName name="_xlnm.Print_Area" localSheetId="0">'Staff Credential Tracker'!$A$1:$Q$27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5">
    <font>
      <name val="Calibri"/>
      <family val="2"/>
      <color theme="1"/>
      <sz val="11"/>
      <scheme val="minor"/>
    </font>
    <font>
      <name val="Georgia"/>
      <b val="1"/>
      <color rgb="001B4D6B"/>
      <sz val="24"/>
    </font>
    <font>
      <name val="Georgia"/>
      <b val="1"/>
      <color rgb="001B4D6B"/>
      <sz val="18"/>
    </font>
    <font>
      <name val="Calibri"/>
      <i val="1"/>
      <color rgb="0064748B"/>
      <sz val="11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b val="1"/>
      <color rgb="00C4985A"/>
      <sz val="8"/>
    </font>
    <font>
      <name val="Calibri"/>
      <color rgb="002D3748"/>
      <sz val="10"/>
    </font>
    <font>
      <name val="Calibri"/>
      <b val="1"/>
      <color rgb="001B4D6B"/>
      <sz val="10"/>
    </font>
    <font>
      <name val="Calibri"/>
      <b val="1"/>
      <color rgb="001B4D6B"/>
      <sz val="9"/>
    </font>
    <font>
      <name val="Calibri"/>
      <b val="1"/>
      <color rgb="001B4D6B"/>
      <sz val="12"/>
    </font>
    <font>
      <name val="Calibri"/>
      <b val="1"/>
      <color rgb="002E7D32"/>
      <sz val="12"/>
    </font>
    <font>
      <name val="Calibri"/>
      <i val="1"/>
      <color rgb="0064748B"/>
      <sz val="9"/>
    </font>
    <font>
      <name val="Georgia"/>
      <b val="1"/>
      <color rgb="001B4D6B"/>
      <sz val="16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1B4D6B"/>
      </patternFill>
    </fill>
    <fill>
      <patternFill patternType="solid">
        <fgColor rgb="00F0EDE6"/>
      </patternFill>
    </fill>
    <fill>
      <patternFill patternType="solid">
        <fgColor rgb="00F8F6F1"/>
      </patternFill>
    </fill>
  </fills>
  <borders count="3">
    <border>
      <left/>
      <right/>
      <top/>
      <bottom/>
      <diagonal/>
    </border>
    <border>
      <bottom style="medium">
        <color rgb="00C4985A"/>
      </bottom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4" borderId="2" applyAlignment="1" pivotButton="0" quotePrefix="0" xfId="0">
      <alignment horizontal="left" vertical="center"/>
    </xf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3" borderId="2" pivotButton="0" quotePrefix="0" xfId="0"/>
    <xf numFmtId="0" fontId="9" fillId="3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name val="Calibri"/>
        <b val="1"/>
        <color rgb="002E7D32"/>
        <sz val="10"/>
      </font>
      <fill>
        <patternFill patternType="solid">
          <fgColor rgb="00E8F5E9"/>
        </patternFill>
      </fill>
    </dxf>
    <dxf>
      <font>
        <name val="Calibri"/>
        <b val="1"/>
        <color rgb="00B45309"/>
        <sz val="10"/>
      </font>
      <fill>
        <patternFill patternType="solid">
          <fgColor rgb="00FEF3C7"/>
        </patternFill>
      </fill>
    </dxf>
    <dxf>
      <font>
        <name val="Calibri"/>
        <b val="1"/>
        <color rgb="00B91C1C"/>
        <sz val="10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D6B"/>
    <outlinePr summaryBelow="1" summaryRight="1"/>
    <pageSetUpPr/>
  </sheetPr>
  <dimension ref="A1:Q27"/>
  <sheetViews>
    <sheetView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5" customWidth="1" min="4" max="4"/>
    <col width="15" customWidth="1" min="5" max="5"/>
    <col width="14" customWidth="1" min="6" max="6"/>
    <col width="13" customWidth="1" min="7" max="7"/>
    <col width="13" customWidth="1" min="8" max="8"/>
    <col width="14" customWidth="1" min="9" max="9"/>
    <col width="13" customWidth="1" min="10" max="10"/>
    <col width="13" customWidth="1" min="11" max="11"/>
    <col width="14" customWidth="1" min="12" max="12"/>
    <col width="15" customWidth="1" min="13" max="13"/>
    <col width="14" customWidth="1" min="14" max="14"/>
    <col width="14" customWidth="1" min="15" max="15"/>
    <col width="13" customWidth="1" min="16" max="16"/>
    <col width="30" customWidth="1" min="17" max="17"/>
  </cols>
  <sheetData>
    <row r="1" ht="40" customHeight="1">
      <c r="A1" s="1" t="inlineStr">
        <is>
          <t>Compleros</t>
        </is>
      </c>
    </row>
    <row r="2" ht="30" customHeight="1">
      <c r="A2" s="2" t="inlineStr">
        <is>
          <t>Staff Credential Tracking Sheet</t>
        </is>
      </c>
    </row>
    <row r="3" ht="22" customHeight="1">
      <c r="A3" s="3" t="inlineStr">
        <is>
          <t>Track every staff credential, screening, and training requirement in one place. Status columns auto-calculate from dates you enter.</t>
        </is>
      </c>
    </row>
    <row r="4" ht="18" customHeight="1">
      <c r="A4" s="4" t="inlineStr">
        <is>
          <t>CMP-TMP-STF-001  |  Free Tier Template  |  Updated April 2026</t>
        </is>
      </c>
    </row>
    <row r="5" ht="6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36" customHeight="1">
      <c r="A6" s="6" t="inlineStr">
        <is>
          <t>Staff Name</t>
        </is>
      </c>
      <c r="B6" s="6" t="inlineStr">
        <is>
          <t>Position / Role</t>
        </is>
      </c>
      <c r="C6" s="6" t="inlineStr">
        <is>
          <t>Hire Date</t>
        </is>
      </c>
      <c r="D6" s="6" t="inlineStr">
        <is>
          <t>Level 2
Screening Date</t>
        </is>
      </c>
      <c r="E6" s="6" t="inlineStr">
        <is>
          <t>Level 2
Expiration</t>
        </is>
      </c>
      <c r="F6" s="6" t="inlineStr">
        <is>
          <t>Level 2
Status</t>
        </is>
      </c>
      <c r="G6" s="6" t="inlineStr">
        <is>
          <t>CPR
Cert Date</t>
        </is>
      </c>
      <c r="H6" s="6" t="inlineStr">
        <is>
          <t>CPR
Expiration</t>
        </is>
      </c>
      <c r="I6" s="6" t="inlineStr">
        <is>
          <t>CPR
Status</t>
        </is>
      </c>
      <c r="J6" s="6" t="inlineStr">
        <is>
          <t>First Aid
Cert Date</t>
        </is>
      </c>
      <c r="K6" s="6" t="inlineStr">
        <is>
          <t>First Aid
Expiration</t>
        </is>
      </c>
      <c r="L6" s="6" t="inlineStr">
        <is>
          <t>First Aid
Status</t>
        </is>
      </c>
      <c r="M6" s="6" t="inlineStr">
        <is>
          <t>45-Hr DCF
Training Date</t>
        </is>
      </c>
      <c r="N6" s="6" t="inlineStr">
        <is>
          <t>In-Service Hrs
(This Year)</t>
        </is>
      </c>
      <c r="O6" s="6" t="inlineStr">
        <is>
          <t>In-Service
Status</t>
        </is>
      </c>
      <c r="P6" s="6" t="inlineStr">
        <is>
          <t>Director
Credential</t>
        </is>
      </c>
      <c r="Q6" s="6" t="inlineStr">
        <is>
          <t>Notes</t>
        </is>
      </c>
    </row>
    <row r="7" ht="18" customHeight="1">
      <c r="A7" s="7" t="inlineStr">
        <is>
          <t>BASIC INFO</t>
        </is>
      </c>
      <c r="B7" s="8" t="n"/>
      <c r="C7" s="8" t="n"/>
      <c r="D7" s="7" t="inlineStr">
        <is>
          <t>BACKGROUND SCREENING</t>
        </is>
      </c>
      <c r="E7" s="8" t="n"/>
      <c r="F7" s="8" t="n"/>
      <c r="G7" s="7" t="inlineStr">
        <is>
          <t>CPR CERTIFICATION</t>
        </is>
      </c>
      <c r="H7" s="8" t="n"/>
      <c r="I7" s="8" t="n"/>
      <c r="J7" s="7" t="inlineStr">
        <is>
          <t>FIRST AID</t>
        </is>
      </c>
      <c r="K7" s="8" t="n"/>
      <c r="L7" s="8" t="n"/>
      <c r="M7" s="7" t="inlineStr">
        <is>
          <t>45-HOUR TRAINING</t>
        </is>
      </c>
      <c r="N7" s="7" t="inlineStr">
        <is>
          <t>ANNUAL IN-SERVICE</t>
        </is>
      </c>
      <c r="O7" s="8" t="n"/>
      <c r="P7" s="7" t="inlineStr">
        <is>
          <t>DIRECTOR</t>
        </is>
      </c>
      <c r="Q7" s="7" t="inlineStr"/>
    </row>
    <row r="8" ht="26" customHeight="1">
      <c r="A8" s="9" t="n"/>
      <c r="B8" s="9" t="n"/>
      <c r="C8" s="10" t="n"/>
      <c r="D8" s="10" t="n"/>
      <c r="E8" s="10">
        <f>IF(D8="","",DATE(YEAR(D8)+5,MONTH(D8),DAY(D8)))</f>
        <v/>
      </c>
      <c r="F8" s="11">
        <f>IF(D8="","",IF(E8&lt;TODAY(),"EXPIRED",IF(E8&lt;TODAY()+30,"EXPIRING SOON","CURRENT")))</f>
        <v/>
      </c>
      <c r="G8" s="10" t="n"/>
      <c r="H8" s="10" t="n"/>
      <c r="I8" s="11">
        <f>IF(H8="","",IF(H8&lt;TODAY(),"EXPIRED",IF(H8&lt;TODAY()+30,"EXPIRING SOON","CURRENT")))</f>
        <v/>
      </c>
      <c r="J8" s="10" t="n"/>
      <c r="K8" s="10" t="n"/>
      <c r="L8" s="11">
        <f>IF(K8="","",IF(K8&lt;TODAY(),"EXPIRED",IF(K8&lt;TODAY()+30,"EXPIRING SOON","CURRENT")))</f>
        <v/>
      </c>
      <c r="M8" s="10" t="n"/>
      <c r="N8" s="11" t="n"/>
      <c r="O8" s="11">
        <f>IF(N8="","",IF(N8&gt;=10,"COMPLETE",IF(N8&gt;0,"IN PROGRESS","NOT STARTED")))</f>
        <v/>
      </c>
      <c r="P8" s="11" t="n"/>
      <c r="Q8" s="9" t="n"/>
    </row>
    <row r="9" ht="26" customHeight="1">
      <c r="A9" s="12" t="n"/>
      <c r="B9" s="12" t="n"/>
      <c r="C9" s="13" t="n"/>
      <c r="D9" s="13" t="n"/>
      <c r="E9" s="13">
        <f>IF(D9="","",DATE(YEAR(D9)+5,MONTH(D9),DAY(D9)))</f>
        <v/>
      </c>
      <c r="F9" s="14">
        <f>IF(D9="","",IF(E9&lt;TODAY(),"EXPIRED",IF(E9&lt;TODAY()+30,"EXPIRING SOON","CURRENT")))</f>
        <v/>
      </c>
      <c r="G9" s="13" t="n"/>
      <c r="H9" s="13" t="n"/>
      <c r="I9" s="14">
        <f>IF(H9="","",IF(H9&lt;TODAY(),"EXPIRED",IF(H9&lt;TODAY()+30,"EXPIRING SOON","CURRENT")))</f>
        <v/>
      </c>
      <c r="J9" s="13" t="n"/>
      <c r="K9" s="13" t="n"/>
      <c r="L9" s="14">
        <f>IF(K9="","",IF(K9&lt;TODAY(),"EXPIRED",IF(K9&lt;TODAY()+30,"EXPIRING SOON","CURRENT")))</f>
        <v/>
      </c>
      <c r="M9" s="13" t="n"/>
      <c r="N9" s="14" t="n"/>
      <c r="O9" s="14">
        <f>IF(N9="","",IF(N9&gt;=10,"COMPLETE",IF(N9&gt;0,"IN PROGRESS","NOT STARTED")))</f>
        <v/>
      </c>
      <c r="P9" s="14" t="n"/>
      <c r="Q9" s="12" t="n"/>
    </row>
    <row r="10" ht="26" customHeight="1">
      <c r="A10" s="9" t="n"/>
      <c r="B10" s="9" t="n"/>
      <c r="C10" s="10" t="n"/>
      <c r="D10" s="10" t="n"/>
      <c r="E10" s="10">
        <f>IF(D10="","",DATE(YEAR(D10)+5,MONTH(D10),DAY(D10)))</f>
        <v/>
      </c>
      <c r="F10" s="11">
        <f>IF(D10="","",IF(E10&lt;TODAY(),"EXPIRED",IF(E10&lt;TODAY()+30,"EXPIRING SOON","CURRENT")))</f>
        <v/>
      </c>
      <c r="G10" s="10" t="n"/>
      <c r="H10" s="10" t="n"/>
      <c r="I10" s="11">
        <f>IF(H10="","",IF(H10&lt;TODAY(),"EXPIRED",IF(H10&lt;TODAY()+30,"EXPIRING SOON","CURRENT")))</f>
        <v/>
      </c>
      <c r="J10" s="10" t="n"/>
      <c r="K10" s="10" t="n"/>
      <c r="L10" s="11">
        <f>IF(K10="","",IF(K10&lt;TODAY(),"EXPIRED",IF(K10&lt;TODAY()+30,"EXPIRING SOON","CURRENT")))</f>
        <v/>
      </c>
      <c r="M10" s="10" t="n"/>
      <c r="N10" s="11" t="n"/>
      <c r="O10" s="11">
        <f>IF(N10="","",IF(N10&gt;=10,"COMPLETE",IF(N10&gt;0,"IN PROGRESS","NOT STARTED")))</f>
        <v/>
      </c>
      <c r="P10" s="11" t="n"/>
      <c r="Q10" s="9" t="n"/>
    </row>
    <row r="11" ht="26" customHeight="1">
      <c r="A11" s="12" t="n"/>
      <c r="B11" s="12" t="n"/>
      <c r="C11" s="13" t="n"/>
      <c r="D11" s="13" t="n"/>
      <c r="E11" s="13">
        <f>IF(D11="","",DATE(YEAR(D11)+5,MONTH(D11),DAY(D11)))</f>
        <v/>
      </c>
      <c r="F11" s="14">
        <f>IF(D11="","",IF(E11&lt;TODAY(),"EXPIRED",IF(E11&lt;TODAY()+30,"EXPIRING SOON","CURRENT")))</f>
        <v/>
      </c>
      <c r="G11" s="13" t="n"/>
      <c r="H11" s="13" t="n"/>
      <c r="I11" s="14">
        <f>IF(H11="","",IF(H11&lt;TODAY(),"EXPIRED",IF(H11&lt;TODAY()+30,"EXPIRING SOON","CURRENT")))</f>
        <v/>
      </c>
      <c r="J11" s="13" t="n"/>
      <c r="K11" s="13" t="n"/>
      <c r="L11" s="14">
        <f>IF(K11="","",IF(K11&lt;TODAY(),"EXPIRED",IF(K11&lt;TODAY()+30,"EXPIRING SOON","CURRENT")))</f>
        <v/>
      </c>
      <c r="M11" s="13" t="n"/>
      <c r="N11" s="14" t="n"/>
      <c r="O11" s="14">
        <f>IF(N11="","",IF(N11&gt;=10,"COMPLETE",IF(N11&gt;0,"IN PROGRESS","NOT STARTED")))</f>
        <v/>
      </c>
      <c r="P11" s="14" t="n"/>
      <c r="Q11" s="12" t="n"/>
    </row>
    <row r="12" ht="26" customHeight="1">
      <c r="A12" s="9" t="n"/>
      <c r="B12" s="9" t="n"/>
      <c r="C12" s="10" t="n"/>
      <c r="D12" s="10" t="n"/>
      <c r="E12" s="10">
        <f>IF(D12="","",DATE(YEAR(D12)+5,MONTH(D12),DAY(D12)))</f>
        <v/>
      </c>
      <c r="F12" s="11">
        <f>IF(D12="","",IF(E12&lt;TODAY(),"EXPIRED",IF(E12&lt;TODAY()+30,"EXPIRING SOON","CURRENT")))</f>
        <v/>
      </c>
      <c r="G12" s="10" t="n"/>
      <c r="H12" s="10" t="n"/>
      <c r="I12" s="11">
        <f>IF(H12="","",IF(H12&lt;TODAY(),"EXPIRED",IF(H12&lt;TODAY()+30,"EXPIRING SOON","CURRENT")))</f>
        <v/>
      </c>
      <c r="J12" s="10" t="n"/>
      <c r="K12" s="10" t="n"/>
      <c r="L12" s="11">
        <f>IF(K12="","",IF(K12&lt;TODAY(),"EXPIRED",IF(K12&lt;TODAY()+30,"EXPIRING SOON","CURRENT")))</f>
        <v/>
      </c>
      <c r="M12" s="10" t="n"/>
      <c r="N12" s="11" t="n"/>
      <c r="O12" s="11">
        <f>IF(N12="","",IF(N12&gt;=10,"COMPLETE",IF(N12&gt;0,"IN PROGRESS","NOT STARTED")))</f>
        <v/>
      </c>
      <c r="P12" s="11" t="n"/>
      <c r="Q12" s="9" t="n"/>
    </row>
    <row r="13" ht="26" customHeight="1">
      <c r="A13" s="12" t="n"/>
      <c r="B13" s="12" t="n"/>
      <c r="C13" s="13" t="n"/>
      <c r="D13" s="13" t="n"/>
      <c r="E13" s="13">
        <f>IF(D13="","",DATE(YEAR(D13)+5,MONTH(D13),DAY(D13)))</f>
        <v/>
      </c>
      <c r="F13" s="14">
        <f>IF(D13="","",IF(E13&lt;TODAY(),"EXPIRED",IF(E13&lt;TODAY()+30,"EXPIRING SOON","CURRENT")))</f>
        <v/>
      </c>
      <c r="G13" s="13" t="n"/>
      <c r="H13" s="13" t="n"/>
      <c r="I13" s="14">
        <f>IF(H13="","",IF(H13&lt;TODAY(),"EXPIRED",IF(H13&lt;TODAY()+30,"EXPIRING SOON","CURRENT")))</f>
        <v/>
      </c>
      <c r="J13" s="13" t="n"/>
      <c r="K13" s="13" t="n"/>
      <c r="L13" s="14">
        <f>IF(K13="","",IF(K13&lt;TODAY(),"EXPIRED",IF(K13&lt;TODAY()+30,"EXPIRING SOON","CURRENT")))</f>
        <v/>
      </c>
      <c r="M13" s="13" t="n"/>
      <c r="N13" s="14" t="n"/>
      <c r="O13" s="14">
        <f>IF(N13="","",IF(N13&gt;=10,"COMPLETE",IF(N13&gt;0,"IN PROGRESS","NOT STARTED")))</f>
        <v/>
      </c>
      <c r="P13" s="14" t="n"/>
      <c r="Q13" s="12" t="n"/>
    </row>
    <row r="14" ht="26" customHeight="1">
      <c r="A14" s="9" t="n"/>
      <c r="B14" s="9" t="n"/>
      <c r="C14" s="10" t="n"/>
      <c r="D14" s="10" t="n"/>
      <c r="E14" s="10">
        <f>IF(D14="","",DATE(YEAR(D14)+5,MONTH(D14),DAY(D14)))</f>
        <v/>
      </c>
      <c r="F14" s="11">
        <f>IF(D14="","",IF(E14&lt;TODAY(),"EXPIRED",IF(E14&lt;TODAY()+30,"EXPIRING SOON","CURRENT")))</f>
        <v/>
      </c>
      <c r="G14" s="10" t="n"/>
      <c r="H14" s="10" t="n"/>
      <c r="I14" s="11">
        <f>IF(H14="","",IF(H14&lt;TODAY(),"EXPIRED",IF(H14&lt;TODAY()+30,"EXPIRING SOON","CURRENT")))</f>
        <v/>
      </c>
      <c r="J14" s="10" t="n"/>
      <c r="K14" s="10" t="n"/>
      <c r="L14" s="11">
        <f>IF(K14="","",IF(K14&lt;TODAY(),"EXPIRED",IF(K14&lt;TODAY()+30,"EXPIRING SOON","CURRENT")))</f>
        <v/>
      </c>
      <c r="M14" s="10" t="n"/>
      <c r="N14" s="11" t="n"/>
      <c r="O14" s="11">
        <f>IF(N14="","",IF(N14&gt;=10,"COMPLETE",IF(N14&gt;0,"IN PROGRESS","NOT STARTED")))</f>
        <v/>
      </c>
      <c r="P14" s="11" t="n"/>
      <c r="Q14" s="9" t="n"/>
    </row>
    <row r="15" ht="26" customHeight="1">
      <c r="A15" s="12" t="n"/>
      <c r="B15" s="12" t="n"/>
      <c r="C15" s="13" t="n"/>
      <c r="D15" s="13" t="n"/>
      <c r="E15" s="13">
        <f>IF(D15="","",DATE(YEAR(D15)+5,MONTH(D15),DAY(D15)))</f>
        <v/>
      </c>
      <c r="F15" s="14">
        <f>IF(D15="","",IF(E15&lt;TODAY(),"EXPIRED",IF(E15&lt;TODAY()+30,"EXPIRING SOON","CURRENT")))</f>
        <v/>
      </c>
      <c r="G15" s="13" t="n"/>
      <c r="H15" s="13" t="n"/>
      <c r="I15" s="14">
        <f>IF(H15="","",IF(H15&lt;TODAY(),"EXPIRED",IF(H15&lt;TODAY()+30,"EXPIRING SOON","CURRENT")))</f>
        <v/>
      </c>
      <c r="J15" s="13" t="n"/>
      <c r="K15" s="13" t="n"/>
      <c r="L15" s="14">
        <f>IF(K15="","",IF(K15&lt;TODAY(),"EXPIRED",IF(K15&lt;TODAY()+30,"EXPIRING SOON","CURRENT")))</f>
        <v/>
      </c>
      <c r="M15" s="13" t="n"/>
      <c r="N15" s="14" t="n"/>
      <c r="O15" s="14">
        <f>IF(N15="","",IF(N15&gt;=10,"COMPLETE",IF(N15&gt;0,"IN PROGRESS","NOT STARTED")))</f>
        <v/>
      </c>
      <c r="P15" s="14" t="n"/>
      <c r="Q15" s="12" t="n"/>
    </row>
    <row r="16" ht="26" customHeight="1">
      <c r="A16" s="9" t="n"/>
      <c r="B16" s="9" t="n"/>
      <c r="C16" s="10" t="n"/>
      <c r="D16" s="10" t="n"/>
      <c r="E16" s="10">
        <f>IF(D16="","",DATE(YEAR(D16)+5,MONTH(D16),DAY(D16)))</f>
        <v/>
      </c>
      <c r="F16" s="11">
        <f>IF(D16="","",IF(E16&lt;TODAY(),"EXPIRED",IF(E16&lt;TODAY()+30,"EXPIRING SOON","CURRENT")))</f>
        <v/>
      </c>
      <c r="G16" s="10" t="n"/>
      <c r="H16" s="10" t="n"/>
      <c r="I16" s="11">
        <f>IF(H16="","",IF(H16&lt;TODAY(),"EXPIRED",IF(H16&lt;TODAY()+30,"EXPIRING SOON","CURRENT")))</f>
        <v/>
      </c>
      <c r="J16" s="10" t="n"/>
      <c r="K16" s="10" t="n"/>
      <c r="L16" s="11">
        <f>IF(K16="","",IF(K16&lt;TODAY(),"EXPIRED",IF(K16&lt;TODAY()+30,"EXPIRING SOON","CURRENT")))</f>
        <v/>
      </c>
      <c r="M16" s="10" t="n"/>
      <c r="N16" s="11" t="n"/>
      <c r="O16" s="11">
        <f>IF(N16="","",IF(N16&gt;=10,"COMPLETE",IF(N16&gt;0,"IN PROGRESS","NOT STARTED")))</f>
        <v/>
      </c>
      <c r="P16" s="11" t="n"/>
      <c r="Q16" s="9" t="n"/>
    </row>
    <row r="17" ht="26" customHeight="1">
      <c r="A17" s="12" t="n"/>
      <c r="B17" s="12" t="n"/>
      <c r="C17" s="13" t="n"/>
      <c r="D17" s="13" t="n"/>
      <c r="E17" s="13">
        <f>IF(D17="","",DATE(YEAR(D17)+5,MONTH(D17),DAY(D17)))</f>
        <v/>
      </c>
      <c r="F17" s="14">
        <f>IF(D17="","",IF(E17&lt;TODAY(),"EXPIRED",IF(E17&lt;TODAY()+30,"EXPIRING SOON","CURRENT")))</f>
        <v/>
      </c>
      <c r="G17" s="13" t="n"/>
      <c r="H17" s="13" t="n"/>
      <c r="I17" s="14">
        <f>IF(H17="","",IF(H17&lt;TODAY(),"EXPIRED",IF(H17&lt;TODAY()+30,"EXPIRING SOON","CURRENT")))</f>
        <v/>
      </c>
      <c r="J17" s="13" t="n"/>
      <c r="K17" s="13" t="n"/>
      <c r="L17" s="14">
        <f>IF(K17="","",IF(K17&lt;TODAY(),"EXPIRED",IF(K17&lt;TODAY()+30,"EXPIRING SOON","CURRENT")))</f>
        <v/>
      </c>
      <c r="M17" s="13" t="n"/>
      <c r="N17" s="14" t="n"/>
      <c r="O17" s="14">
        <f>IF(N17="","",IF(N17&gt;=10,"COMPLETE",IF(N17&gt;0,"IN PROGRESS","NOT STARTED")))</f>
        <v/>
      </c>
      <c r="P17" s="14" t="n"/>
      <c r="Q17" s="12" t="n"/>
    </row>
    <row r="18" ht="26" customHeight="1">
      <c r="A18" s="9" t="n"/>
      <c r="B18" s="9" t="n"/>
      <c r="C18" s="10" t="n"/>
      <c r="D18" s="10" t="n"/>
      <c r="E18" s="10">
        <f>IF(D18="","",DATE(YEAR(D18)+5,MONTH(D18),DAY(D18)))</f>
        <v/>
      </c>
      <c r="F18" s="11">
        <f>IF(D18="","",IF(E18&lt;TODAY(),"EXPIRED",IF(E18&lt;TODAY()+30,"EXPIRING SOON","CURRENT")))</f>
        <v/>
      </c>
      <c r="G18" s="10" t="n"/>
      <c r="H18" s="10" t="n"/>
      <c r="I18" s="11">
        <f>IF(H18="","",IF(H18&lt;TODAY(),"EXPIRED",IF(H18&lt;TODAY()+30,"EXPIRING SOON","CURRENT")))</f>
        <v/>
      </c>
      <c r="J18" s="10" t="n"/>
      <c r="K18" s="10" t="n"/>
      <c r="L18" s="11">
        <f>IF(K18="","",IF(K18&lt;TODAY(),"EXPIRED",IF(K18&lt;TODAY()+30,"EXPIRING SOON","CURRENT")))</f>
        <v/>
      </c>
      <c r="M18" s="10" t="n"/>
      <c r="N18" s="11" t="n"/>
      <c r="O18" s="11">
        <f>IF(N18="","",IF(N18&gt;=10,"COMPLETE",IF(N18&gt;0,"IN PROGRESS","NOT STARTED")))</f>
        <v/>
      </c>
      <c r="P18" s="11" t="n"/>
      <c r="Q18" s="9" t="n"/>
    </row>
    <row r="19" ht="26" customHeight="1">
      <c r="A19" s="12" t="n"/>
      <c r="B19" s="12" t="n"/>
      <c r="C19" s="13" t="n"/>
      <c r="D19" s="13" t="n"/>
      <c r="E19" s="13">
        <f>IF(D19="","",DATE(YEAR(D19)+5,MONTH(D19),DAY(D19)))</f>
        <v/>
      </c>
      <c r="F19" s="14">
        <f>IF(D19="","",IF(E19&lt;TODAY(),"EXPIRED",IF(E19&lt;TODAY()+30,"EXPIRING SOON","CURRENT")))</f>
        <v/>
      </c>
      <c r="G19" s="13" t="n"/>
      <c r="H19" s="13" t="n"/>
      <c r="I19" s="14">
        <f>IF(H19="","",IF(H19&lt;TODAY(),"EXPIRED",IF(H19&lt;TODAY()+30,"EXPIRING SOON","CURRENT")))</f>
        <v/>
      </c>
      <c r="J19" s="13" t="n"/>
      <c r="K19" s="13" t="n"/>
      <c r="L19" s="14">
        <f>IF(K19="","",IF(K19&lt;TODAY(),"EXPIRED",IF(K19&lt;TODAY()+30,"EXPIRING SOON","CURRENT")))</f>
        <v/>
      </c>
      <c r="M19" s="13" t="n"/>
      <c r="N19" s="14" t="n"/>
      <c r="O19" s="14">
        <f>IF(N19="","",IF(N19&gt;=10,"COMPLETE",IF(N19&gt;0,"IN PROGRESS","NOT STARTED")))</f>
        <v/>
      </c>
      <c r="P19" s="14" t="n"/>
      <c r="Q19" s="12" t="n"/>
    </row>
    <row r="20" ht="26" customHeight="1">
      <c r="A20" s="9" t="n"/>
      <c r="B20" s="9" t="n"/>
      <c r="C20" s="10" t="n"/>
      <c r="D20" s="10" t="n"/>
      <c r="E20" s="10">
        <f>IF(D20="","",DATE(YEAR(D20)+5,MONTH(D20),DAY(D20)))</f>
        <v/>
      </c>
      <c r="F20" s="11">
        <f>IF(D20="","",IF(E20&lt;TODAY(),"EXPIRED",IF(E20&lt;TODAY()+30,"EXPIRING SOON","CURRENT")))</f>
        <v/>
      </c>
      <c r="G20" s="10" t="n"/>
      <c r="H20" s="10" t="n"/>
      <c r="I20" s="11">
        <f>IF(H20="","",IF(H20&lt;TODAY(),"EXPIRED",IF(H20&lt;TODAY()+30,"EXPIRING SOON","CURRENT")))</f>
        <v/>
      </c>
      <c r="J20" s="10" t="n"/>
      <c r="K20" s="10" t="n"/>
      <c r="L20" s="11">
        <f>IF(K20="","",IF(K20&lt;TODAY(),"EXPIRED",IF(K20&lt;TODAY()+30,"EXPIRING SOON","CURRENT")))</f>
        <v/>
      </c>
      <c r="M20" s="10" t="n"/>
      <c r="N20" s="11" t="n"/>
      <c r="O20" s="11">
        <f>IF(N20="","",IF(N20&gt;=10,"COMPLETE",IF(N20&gt;0,"IN PROGRESS","NOT STARTED")))</f>
        <v/>
      </c>
      <c r="P20" s="11" t="n"/>
      <c r="Q20" s="9" t="n"/>
    </row>
    <row r="21" ht="26" customHeight="1">
      <c r="A21" s="12" t="n"/>
      <c r="B21" s="12" t="n"/>
      <c r="C21" s="13" t="n"/>
      <c r="D21" s="13" t="n"/>
      <c r="E21" s="13">
        <f>IF(D21="","",DATE(YEAR(D21)+5,MONTH(D21),DAY(D21)))</f>
        <v/>
      </c>
      <c r="F21" s="14">
        <f>IF(D21="","",IF(E21&lt;TODAY(),"EXPIRED",IF(E21&lt;TODAY()+30,"EXPIRING SOON","CURRENT")))</f>
        <v/>
      </c>
      <c r="G21" s="13" t="n"/>
      <c r="H21" s="13" t="n"/>
      <c r="I21" s="14">
        <f>IF(H21="","",IF(H21&lt;TODAY(),"EXPIRED",IF(H21&lt;TODAY()+30,"EXPIRING SOON","CURRENT")))</f>
        <v/>
      </c>
      <c r="J21" s="13" t="n"/>
      <c r="K21" s="13" t="n"/>
      <c r="L21" s="14">
        <f>IF(K21="","",IF(K21&lt;TODAY(),"EXPIRED",IF(K21&lt;TODAY()+30,"EXPIRING SOON","CURRENT")))</f>
        <v/>
      </c>
      <c r="M21" s="13" t="n"/>
      <c r="N21" s="14" t="n"/>
      <c r="O21" s="14">
        <f>IF(N21="","",IF(N21&gt;=10,"COMPLETE",IF(N21&gt;0,"IN PROGRESS","NOT STARTED")))</f>
        <v/>
      </c>
      <c r="P21" s="14" t="n"/>
      <c r="Q21" s="12" t="n"/>
    </row>
    <row r="22" ht="26" customHeight="1">
      <c r="A22" s="9" t="n"/>
      <c r="B22" s="9" t="n"/>
      <c r="C22" s="10" t="n"/>
      <c r="D22" s="10" t="n"/>
      <c r="E22" s="10">
        <f>IF(D22="","",DATE(YEAR(D22)+5,MONTH(D22),DAY(D22)))</f>
        <v/>
      </c>
      <c r="F22" s="11">
        <f>IF(D22="","",IF(E22&lt;TODAY(),"EXPIRED",IF(E22&lt;TODAY()+30,"EXPIRING SOON","CURRENT")))</f>
        <v/>
      </c>
      <c r="G22" s="10" t="n"/>
      <c r="H22" s="10" t="n"/>
      <c r="I22" s="11">
        <f>IF(H22="","",IF(H22&lt;TODAY(),"EXPIRED",IF(H22&lt;TODAY()+30,"EXPIRING SOON","CURRENT")))</f>
        <v/>
      </c>
      <c r="J22" s="10" t="n"/>
      <c r="K22" s="10" t="n"/>
      <c r="L22" s="11">
        <f>IF(K22="","",IF(K22&lt;TODAY(),"EXPIRED",IF(K22&lt;TODAY()+30,"EXPIRING SOON","CURRENT")))</f>
        <v/>
      </c>
      <c r="M22" s="10" t="n"/>
      <c r="N22" s="11" t="n"/>
      <c r="O22" s="11">
        <f>IF(N22="","",IF(N22&gt;=10,"COMPLETE",IF(N22&gt;0,"IN PROGRESS","NOT STARTED")))</f>
        <v/>
      </c>
      <c r="P22" s="11" t="n"/>
      <c r="Q22" s="9" t="n"/>
    </row>
    <row r="24">
      <c r="A24" s="15" t="inlineStr">
        <is>
          <t>SUMMARY</t>
        </is>
      </c>
      <c r="D24" s="16" t="inlineStr">
        <is>
          <t>Total Staff</t>
        </is>
      </c>
      <c r="F24" s="16" t="inlineStr">
        <is>
          <t>Screenings Current</t>
        </is>
      </c>
      <c r="I24" s="16" t="inlineStr">
        <is>
          <t>CPR Current</t>
        </is>
      </c>
      <c r="L24" s="16" t="inlineStr">
        <is>
          <t>First Aid Current</t>
        </is>
      </c>
      <c r="O24" s="16" t="inlineStr">
        <is>
          <t>In-Service Complete</t>
        </is>
      </c>
    </row>
    <row r="25">
      <c r="D25" s="17">
        <f>COUNTA(A8:A22)</f>
        <v/>
      </c>
      <c r="F25" s="18">
        <f>COUNTIF(F8:F22,"CURRENT")</f>
        <v/>
      </c>
      <c r="I25" s="18">
        <f>COUNTIF(I8:I22,"CURRENT")</f>
        <v/>
      </c>
      <c r="L25" s="18">
        <f>COUNTIF(L8:L22,"CURRENT")</f>
        <v/>
      </c>
      <c r="O25" s="18">
        <f>COUNTIF(O8:O22,"COMPLETE")</f>
        <v/>
      </c>
    </row>
    <row r="27">
      <c r="A27" s="19" t="inlineStr">
        <is>
          <t>Compleros does not store your records — it makes sure you have them. Track credential status in Compleros for automated alerts.</t>
        </is>
      </c>
    </row>
  </sheetData>
  <mergeCells count="14">
    <mergeCell ref="J7:L7"/>
    <mergeCell ref="A4:H4"/>
    <mergeCell ref="A27:Q27"/>
    <mergeCell ref="A3:Q3"/>
    <mergeCell ref="M7"/>
    <mergeCell ref="N7:O7"/>
    <mergeCell ref="Q7"/>
    <mergeCell ref="A2:Q2"/>
    <mergeCell ref="A24:C24"/>
    <mergeCell ref="P7"/>
    <mergeCell ref="D7:F7"/>
    <mergeCell ref="A7:C7"/>
    <mergeCell ref="G7:I7"/>
    <mergeCell ref="A1:Q1"/>
  </mergeCells>
  <conditionalFormatting sqref="F8:F22">
    <cfRule type="cellIs" priority="1" operator="equal" dxfId="0">
      <formula>"CURRENT"</formula>
    </cfRule>
    <cfRule type="cellIs" priority="2" operator="equal" dxfId="1">
      <formula>"EXPIRING SOON"</formula>
    </cfRule>
    <cfRule type="cellIs" priority="3" operator="equal" dxfId="2">
      <formula>"EXPIRED"</formula>
    </cfRule>
  </conditionalFormatting>
  <conditionalFormatting sqref="I8:I22">
    <cfRule type="cellIs" priority="4" operator="equal" dxfId="0">
      <formula>"CURRENT"</formula>
    </cfRule>
    <cfRule type="cellIs" priority="5" operator="equal" dxfId="1">
      <formula>"EXPIRING SOON"</formula>
    </cfRule>
    <cfRule type="cellIs" priority="6" operator="equal" dxfId="2">
      <formula>"EXPIRED"</formula>
    </cfRule>
  </conditionalFormatting>
  <conditionalFormatting sqref="L8:L22">
    <cfRule type="cellIs" priority="7" operator="equal" dxfId="0">
      <formula>"CURRENT"</formula>
    </cfRule>
    <cfRule type="cellIs" priority="8" operator="equal" dxfId="1">
      <formula>"EXPIRING SOON"</formula>
    </cfRule>
    <cfRule type="cellIs" priority="9" operator="equal" dxfId="2">
      <formula>"EXPIRED"</formula>
    </cfRule>
  </conditionalFormatting>
  <conditionalFormatting sqref="O8:O22">
    <cfRule type="cellIs" priority="10" operator="equal" dxfId="0">
      <formula>"COMPLETE"</formula>
    </cfRule>
    <cfRule type="cellIs" priority="11" operator="equal" dxfId="1">
      <formula>"IN PROGRESS"</formula>
    </cfRule>
    <cfRule type="cellIs" priority="12" operator="equal" dxfId="2">
      <formula>"NOT STARTED"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85A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6" customHeight="1">
      <c r="A1" s="20" t="inlineStr">
        <is>
          <t>DCF Credential &amp; Training Requirements — Quick Reference</t>
        </is>
      </c>
    </row>
    <row r="2">
      <c r="A2" s="21" t="inlineStr">
        <is>
          <t>Key requirements from Chapter 402, F.S. and Rule 65C-22, F.A.C. Verify current rules at myflfamilies.com.</t>
        </is>
      </c>
    </row>
    <row r="3">
      <c r="A3" s="5" t="n"/>
      <c r="B3" s="5" t="n"/>
      <c r="C3" s="5" t="n"/>
    </row>
    <row r="4">
      <c r="A4" s="22" t="inlineStr">
        <is>
          <t>Requirement</t>
        </is>
      </c>
      <c r="B4" s="22" t="inlineStr">
        <is>
          <t>Details</t>
        </is>
      </c>
      <c r="C4" s="22" t="inlineStr">
        <is>
          <t>Statutory Reference</t>
        </is>
      </c>
    </row>
    <row r="5" ht="24" customHeight="1">
      <c r="A5" s="23" t="inlineStr">
        <is>
          <t>BACKGROUND SCREENING</t>
        </is>
      </c>
      <c r="B5" s="23" t="inlineStr"/>
      <c r="C5" s="23" t="inlineStr"/>
    </row>
    <row r="6" ht="24" customHeight="1">
      <c r="A6" s="24" t="inlineStr">
        <is>
          <t>Level 2 Background Screening</t>
        </is>
      </c>
      <c r="B6" s="24" t="inlineStr">
        <is>
          <t>Required for all child care personnel before working with children</t>
        </is>
      </c>
      <c r="C6" s="24" t="inlineStr">
        <is>
          <t>s. 402.305(2), F.S.</t>
        </is>
      </c>
    </row>
    <row r="7" ht="24" customHeight="1">
      <c r="A7" s="24" t="inlineStr">
        <is>
          <t>Screening Method</t>
        </is>
      </c>
      <c r="B7" s="24" t="inlineStr">
        <is>
          <t>Fingerprinting through the DCF Clearinghouse</t>
        </is>
      </c>
      <c r="C7" s="24" t="inlineStr">
        <is>
          <t>s. 402.308, F.S.</t>
        </is>
      </c>
    </row>
    <row r="8" ht="24" customHeight="1">
      <c r="A8" s="24" t="inlineStr">
        <is>
          <t>Renewal Period</t>
        </is>
      </c>
      <c r="B8" s="24" t="inlineStr">
        <is>
          <t>Every 5 years from the date of screening</t>
        </is>
      </c>
      <c r="C8" s="24" t="inlineStr">
        <is>
          <t>Chapter 435, F.S.</t>
        </is>
      </c>
    </row>
    <row r="9" ht="24" customHeight="1">
      <c r="A9" s="24" t="inlineStr">
        <is>
          <t>Who Must Be Screened</t>
        </is>
      </c>
      <c r="B9" s="24" t="inlineStr">
        <is>
          <t>All staff, volunteers, and household members (if home-based)</t>
        </is>
      </c>
      <c r="C9" s="24" t="inlineStr">
        <is>
          <t>s. 402.302(3), F.S.</t>
        </is>
      </c>
    </row>
    <row r="10" ht="24" customHeight="1">
      <c r="A10" s="24" t="inlineStr">
        <is>
          <t>Child Enrichment Providers</t>
        </is>
      </c>
      <c r="B10" s="24" t="inlineStr">
        <is>
          <t>Level 2 screening required; written parental consent needed</t>
        </is>
      </c>
      <c r="C10" s="24" t="inlineStr">
        <is>
          <t>s. 402.3054, F.S.</t>
        </is>
      </c>
    </row>
    <row r="11" ht="24" customHeight="1">
      <c r="A11" s="24" t="inlineStr"/>
      <c r="B11" s="24" t="inlineStr"/>
      <c r="C11" s="24" t="inlineStr"/>
    </row>
    <row r="12" ht="24" customHeight="1">
      <c r="A12" s="23" t="inlineStr">
        <is>
          <t>TRAINING REQUIREMENTS</t>
        </is>
      </c>
      <c r="B12" s="23" t="inlineStr"/>
      <c r="C12" s="23" t="inlineStr"/>
    </row>
    <row r="13" ht="24" customHeight="1">
      <c r="A13" s="24" t="inlineStr">
        <is>
          <t>45-Hour Introductory Training</t>
        </is>
      </c>
      <c r="B13" s="24" t="inlineStr">
        <is>
          <t>Required for all child care personnel; parts may be completed before or after hire</t>
        </is>
      </c>
      <c r="C13" s="24" t="inlineStr">
        <is>
          <t>Rule 65C-22.003(2)</t>
        </is>
      </c>
    </row>
    <row r="14" ht="24" customHeight="1">
      <c r="A14" s="25" t="inlineStr">
        <is>
          <t xml:space="preserve">   Part I (30 hours)</t>
        </is>
      </c>
      <c r="B14" s="24" t="inlineStr">
        <is>
          <t>Must be completed within 90 days of employment</t>
        </is>
      </c>
      <c r="C14" s="24" t="inlineStr"/>
    </row>
    <row r="15" ht="24" customHeight="1">
      <c r="A15" s="25" t="inlineStr">
        <is>
          <t xml:space="preserve">   Part II (15 hours)</t>
        </is>
      </c>
      <c r="B15" s="24" t="inlineStr">
        <is>
          <t>Includes Emergent Literacy and Special Needs Appropriate Practices</t>
        </is>
      </c>
      <c r="C15" s="24" t="inlineStr"/>
    </row>
    <row r="16" ht="24" customHeight="1">
      <c r="A16" s="24" t="inlineStr">
        <is>
          <t>10-Hour Annual In-Service</t>
        </is>
      </c>
      <c r="B16" s="24" t="inlineStr">
        <is>
          <t>Required annually for all child care personnel</t>
        </is>
      </c>
      <c r="C16" s="24" t="inlineStr">
        <is>
          <t>Rule 65C-22.003(8)</t>
        </is>
      </c>
    </row>
    <row r="17" ht="24" customHeight="1">
      <c r="A17" s="24" t="inlineStr">
        <is>
          <t>Director Credential</t>
        </is>
      </c>
      <c r="B17" s="24" t="inlineStr">
        <is>
          <t>Required for all facility directors (or National Administrator Credential)</t>
        </is>
      </c>
      <c r="C17" s="24" t="inlineStr">
        <is>
          <t>Rule 65C-22.003(3)</t>
        </is>
      </c>
    </row>
    <row r="18" ht="24" customHeight="1">
      <c r="A18" s="24" t="inlineStr">
        <is>
          <t>CPR / First Aid</t>
        </is>
      </c>
      <c r="B18" s="24" t="inlineStr">
        <is>
          <t>At least one staff member per group of children must hold current CPR and First Aid</t>
        </is>
      </c>
      <c r="C18" s="24" t="inlineStr">
        <is>
          <t>Rule 65C-22.001(6)</t>
        </is>
      </c>
    </row>
    <row r="19" ht="24" customHeight="1">
      <c r="A19" s="24" t="inlineStr"/>
      <c r="B19" s="24" t="inlineStr"/>
      <c r="C19" s="24" t="inlineStr"/>
    </row>
    <row r="20" ht="24" customHeight="1">
      <c r="A20" s="23" t="inlineStr">
        <is>
          <t>STAFF-TO-CHILD RATIOS</t>
        </is>
      </c>
      <c r="B20" s="23" t="inlineStr"/>
      <c r="C20" s="23" t="inlineStr"/>
    </row>
    <row r="21" ht="24" customHeight="1">
      <c r="A21" s="24" t="inlineStr">
        <is>
          <t>Birth through 12 months</t>
        </is>
      </c>
      <c r="B21" s="24" t="inlineStr">
        <is>
          <t>1 staff : 4 children</t>
        </is>
      </c>
      <c r="C21" s="24" t="inlineStr">
        <is>
          <t>Rule 65C-22.001(4)</t>
        </is>
      </c>
    </row>
    <row r="22" ht="24" customHeight="1">
      <c r="A22" s="24" t="inlineStr">
        <is>
          <t>1 year through 2 years</t>
        </is>
      </c>
      <c r="B22" s="24" t="inlineStr">
        <is>
          <t>1 staff : 6 children</t>
        </is>
      </c>
      <c r="C22" s="24" t="inlineStr"/>
    </row>
    <row r="23" ht="24" customHeight="1">
      <c r="A23" s="24" t="inlineStr">
        <is>
          <t>2 years through 3 years</t>
        </is>
      </c>
      <c r="B23" s="24" t="inlineStr">
        <is>
          <t>1 staff : 11 children</t>
        </is>
      </c>
      <c r="C23" s="24" t="inlineStr"/>
    </row>
    <row r="24" ht="24" customHeight="1">
      <c r="A24" s="24" t="inlineStr">
        <is>
          <t>3 years through 4 years</t>
        </is>
      </c>
      <c r="B24" s="24" t="inlineStr">
        <is>
          <t>1 staff : 15 children</t>
        </is>
      </c>
      <c r="C24" s="24" t="inlineStr"/>
    </row>
    <row r="25" ht="24" customHeight="1">
      <c r="A25" s="24" t="inlineStr">
        <is>
          <t>4 years through 5 years</t>
        </is>
      </c>
      <c r="B25" s="24" t="inlineStr">
        <is>
          <t>1 staff : 20 children</t>
        </is>
      </c>
      <c r="C25" s="24" t="inlineStr"/>
    </row>
    <row r="26" ht="24" customHeight="1">
      <c r="A26" s="24" t="inlineStr">
        <is>
          <t>5 years and older</t>
        </is>
      </c>
      <c r="B26" s="24" t="inlineStr">
        <is>
          <t>1 staff : 25 children</t>
        </is>
      </c>
      <c r="C26" s="24" t="inlineStr"/>
    </row>
    <row r="27" ht="24" customHeight="1">
      <c r="A27" s="24" t="inlineStr"/>
      <c r="B27" s="24" t="inlineStr"/>
      <c r="C27" s="24" t="inlineStr"/>
    </row>
    <row r="28" ht="24" customHeight="1">
      <c r="A28" s="23" t="inlineStr">
        <is>
          <t>STATUS COLOR KEY</t>
        </is>
      </c>
      <c r="B28" s="23" t="inlineStr"/>
      <c r="C28" s="23" t="inlineStr"/>
    </row>
    <row r="29" ht="24" customHeight="1">
      <c r="A29" s="24" t="inlineStr">
        <is>
          <t>CURRENT (Green)</t>
        </is>
      </c>
      <c r="B29" s="24" t="inlineStr">
        <is>
          <t>Credential is valid and expiration is more than 30 days away</t>
        </is>
      </c>
      <c r="C29" s="24" t="inlineStr"/>
    </row>
    <row r="30" ht="24" customHeight="1">
      <c r="A30" s="24" t="inlineStr">
        <is>
          <t>EXPIRING SOON (Yellow)</t>
        </is>
      </c>
      <c r="B30" s="24" t="inlineStr">
        <is>
          <t>Credential expires within the next 30 days — take action now</t>
        </is>
      </c>
      <c r="C30" s="24" t="inlineStr"/>
    </row>
    <row r="31" ht="24" customHeight="1">
      <c r="A31" s="24" t="inlineStr">
        <is>
          <t>EXPIRED (Red)</t>
        </is>
      </c>
      <c r="B31" s="24" t="inlineStr">
        <is>
          <t>Credential has passed its expiration date — immediate action required</t>
        </is>
      </c>
      <c r="C31" s="24" t="inlineStr"/>
    </row>
    <row r="32" ht="24" customHeight="1">
      <c r="A32" s="24" t="inlineStr">
        <is>
          <t>COMPLETE (Green)</t>
        </is>
      </c>
      <c r="B32" s="24" t="inlineStr">
        <is>
          <t>In-service hours: 10 or more hours logged for the current year</t>
        </is>
      </c>
      <c r="C32" s="24" t="inlineStr"/>
    </row>
    <row r="33" ht="24" customHeight="1">
      <c r="A33" s="24" t="inlineStr">
        <is>
          <t>IN PROGRESS (Yellow)</t>
        </is>
      </c>
      <c r="B33" s="24" t="inlineStr">
        <is>
          <t>In-service hours: some hours logged but less than 10</t>
        </is>
      </c>
      <c r="C33" s="24" t="inlineStr"/>
    </row>
    <row r="35">
      <c r="A35" s="26" t="inlineStr">
        <is>
          <t>CMP-TMP-STF-001  |  Compleros  |  Compliance Management for Florida Education Providers</t>
        </is>
      </c>
    </row>
  </sheetData>
  <mergeCells count="3">
    <mergeCell ref="A1:C1"/>
    <mergeCell ref="A2:C2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2026-04-16T15:20:54Z</dcterms:created>
  <dcterms:modified xmlns:dcterms="http://purl.org/dc/terms/" xmlns:xsi="http://www.w3.org/2001/XMLSchema-instance" xsi:type="dcterms:W3CDTF">2026-04-16T15:20:54Z</dcterms:modified>
</cp:coreProperties>
</file>